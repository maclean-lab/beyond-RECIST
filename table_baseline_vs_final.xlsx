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ssekreger/Desktop/"/>
    </mc:Choice>
  </mc:AlternateContent>
  <xr:revisionPtr revIDLastSave="0" documentId="13_ncr:1_{6CCF36E6-5824-D24C-8DF5-4AD11F38EE4C}" xr6:coauthVersionLast="47" xr6:coauthVersionMax="47" xr10:uidLastSave="{00000000-0000-0000-0000-000000000000}"/>
  <bookViews>
    <workbookView xWindow="0" yWindow="500" windowWidth="51200" windowHeight="28300" xr2:uid="{64356BD0-55BE-5143-9E9E-827C1CEC796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5" i="2" l="1"/>
  <c r="D44" i="2"/>
  <c r="C44" i="2"/>
  <c r="D42" i="2"/>
  <c r="C41" i="2"/>
  <c r="H39" i="2"/>
  <c r="J39" i="2"/>
  <c r="G40" i="2"/>
  <c r="K41" i="2"/>
  <c r="E42" i="2"/>
  <c r="E43" i="2"/>
  <c r="F43" i="2"/>
  <c r="I43" i="2"/>
  <c r="F44" i="2"/>
  <c r="G45" i="2"/>
  <c r="E46" i="2"/>
  <c r="I28" i="2"/>
  <c r="F27" i="2"/>
  <c r="G37" i="2"/>
  <c r="L37" i="2"/>
  <c r="E38" i="2"/>
  <c r="E26" i="2"/>
  <c r="D34" i="2"/>
  <c r="B38" i="2" l="1"/>
  <c r="B37" i="2"/>
  <c r="B36" i="2"/>
  <c r="B35" i="2"/>
  <c r="B34" i="2"/>
  <c r="B33" i="2"/>
  <c r="B32" i="2"/>
  <c r="D30" i="2"/>
  <c r="C30" i="2"/>
  <c r="D29" i="2"/>
  <c r="D28" i="2"/>
  <c r="D27" i="2"/>
  <c r="C27" i="2"/>
  <c r="D26" i="2"/>
  <c r="C26" i="2"/>
</calcChain>
</file>

<file path=xl/sharedStrings.xml><?xml version="1.0" encoding="utf-8"?>
<sst xmlns="http://schemas.openxmlformats.org/spreadsheetml/2006/main" count="644" uniqueCount="84">
  <si>
    <t>R-18</t>
  </si>
  <si>
    <t>R-5</t>
  </si>
  <si>
    <t>R-2</t>
  </si>
  <si>
    <t>R-14</t>
  </si>
  <si>
    <t>R-16</t>
  </si>
  <si>
    <t>Liver final</t>
  </si>
  <si>
    <t>Lung final</t>
  </si>
  <si>
    <t>Lymph node final</t>
  </si>
  <si>
    <t>32, 16</t>
  </si>
  <si>
    <t>10, 5</t>
  </si>
  <si>
    <t>15, 21</t>
  </si>
  <si>
    <t>NA</t>
  </si>
  <si>
    <t>Liver baseline</t>
  </si>
  <si>
    <t>Lung baseline</t>
  </si>
  <si>
    <t>Lymph node baseline</t>
  </si>
  <si>
    <t>18, 25</t>
  </si>
  <si>
    <t>10, 8</t>
  </si>
  <si>
    <t>32, 23</t>
  </si>
  <si>
    <t>5, 6</t>
  </si>
  <si>
    <t>Liver (sum of final diameters)/(sum of baseline diameters)</t>
  </si>
  <si>
    <t>Lung (sum of final diameters)/(sum of baseline diameters)</t>
  </si>
  <si>
    <t>Lymph node (sum of final diameters)/(sum of baseline diameters)</t>
  </si>
  <si>
    <t>R-13</t>
  </si>
  <si>
    <t>R-12</t>
  </si>
  <si>
    <t>R-4</t>
  </si>
  <si>
    <t>R-24</t>
  </si>
  <si>
    <t>R-9</t>
  </si>
  <si>
    <t>R-17</t>
  </si>
  <si>
    <t>R-19</t>
  </si>
  <si>
    <t>22, 38</t>
  </si>
  <si>
    <t>22, 43</t>
  </si>
  <si>
    <t>74, 73</t>
  </si>
  <si>
    <t>113, 93</t>
  </si>
  <si>
    <t>15, 15</t>
  </si>
  <si>
    <t>0, 17</t>
  </si>
  <si>
    <t>29, 54</t>
  </si>
  <si>
    <t>35, 52</t>
  </si>
  <si>
    <t>33, 29</t>
  </si>
  <si>
    <t>77, 66</t>
  </si>
  <si>
    <t>24.8, 29.2</t>
  </si>
  <si>
    <t>32, 30.9</t>
  </si>
  <si>
    <t>29, 26</t>
  </si>
  <si>
    <t>44, 22</t>
  </si>
  <si>
    <t>*all measurements are single diameter in mm</t>
  </si>
  <si>
    <t>0, 0</t>
  </si>
  <si>
    <t>13, 13</t>
  </si>
  <si>
    <t>23, 27</t>
  </si>
  <si>
    <t>Breast baseline</t>
  </si>
  <si>
    <t>Peritoneal/retroperitoneal baseline</t>
  </si>
  <si>
    <t>Pleural baseline</t>
  </si>
  <si>
    <t>Chest baseline</t>
  </si>
  <si>
    <t>Axillary baseline</t>
  </si>
  <si>
    <t>Skin baseline</t>
  </si>
  <si>
    <t>Adrenal baseline</t>
  </si>
  <si>
    <t>Other baseline</t>
  </si>
  <si>
    <t>Breast final</t>
  </si>
  <si>
    <t>Chest final</t>
  </si>
  <si>
    <t>Peritoneal/retroperitoneal final</t>
  </si>
  <si>
    <t>Axillary final</t>
  </si>
  <si>
    <t>Skin final</t>
  </si>
  <si>
    <t>Adrenal final</t>
  </si>
  <si>
    <t>Pleural final</t>
  </si>
  <si>
    <t>Other final</t>
  </si>
  <si>
    <t>R-10</t>
  </si>
  <si>
    <t>R-20</t>
  </si>
  <si>
    <t>R-23</t>
  </si>
  <si>
    <t>R-1</t>
  </si>
  <si>
    <t>R-6</t>
  </si>
  <si>
    <t>R-8</t>
  </si>
  <si>
    <t>R-7</t>
  </si>
  <si>
    <t>R-15</t>
  </si>
  <si>
    <t>64, 33</t>
  </si>
  <si>
    <t>49, 24</t>
  </si>
  <si>
    <t>16, 13</t>
  </si>
  <si>
    <t>21, 37</t>
  </si>
  <si>
    <t>24, 26</t>
  </si>
  <si>
    <t>Breast (sum of final diameters)/(sum of baseline diameters)</t>
  </si>
  <si>
    <t>Chest (sum of final diameters)/(sum of baseline diameters)</t>
  </si>
  <si>
    <t>Peritoneal/retroperitoneal (sum of final diameters)/(sum of baseline diameters)</t>
  </si>
  <si>
    <t>Axillary (sum of final diameters)/(sum of baseline diameters)</t>
  </si>
  <si>
    <t>Skin (sum of final diameters)/(sum of baseline diameters)</t>
  </si>
  <si>
    <t>Adrenal (sum of final diameters)/(sum of baseline diameters)</t>
  </si>
  <si>
    <t>Pleural (sum of final diameters)/(sum of baseline diameters)</t>
  </si>
  <si>
    <t>Other (sum of final diameters)/(sum of baseline diameters)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</si>
</sst>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CA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 applyProtection="1">
      <alignment horizontal="center"/>
      <protection locked="0"/>
    </xf>
    <xf numFmtId="0" fontId="0" fillId="3" borderId="1" xfId="0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AC0"/>
      <color rgb="FFFF98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F8C6A-CE44-0646-AE2E-BCD2BB49F0C6}">
  <dimension ref="A1:Z46"/>
  <sheetViews>
    <sheetView tabSelected="1" workbookViewId="0">
      <selection activeCell="A62" sqref="A62"/>
    </sheetView>
  </sheetViews>
  <sheetFormatPr baseColWidth="10" defaultRowHeight="16" x14ac:dyDescent="0.2"/>
  <cols>
    <col min="1" max="1" width="20.83203125" style="2" customWidth="1"/>
    <col min="2" max="24" width="20.83203125" style="1" customWidth="1"/>
    <col min="25" max="16384" width="10.83203125" style="1"/>
  </cols>
  <sheetData>
    <row r="1" spans="1:26" s="18" customFormat="1" x14ac:dyDescent="0.2">
      <c r="A1" s="17"/>
      <c r="B1" s="7" t="s">
        <v>12</v>
      </c>
      <c r="C1" s="7" t="s">
        <v>13</v>
      </c>
      <c r="D1" s="7" t="s">
        <v>14</v>
      </c>
      <c r="E1" s="7" t="s">
        <v>47</v>
      </c>
      <c r="F1" s="7" t="s">
        <v>50</v>
      </c>
      <c r="G1" s="16" t="s">
        <v>48</v>
      </c>
      <c r="H1" s="7" t="s">
        <v>51</v>
      </c>
      <c r="I1" s="7" t="s">
        <v>52</v>
      </c>
      <c r="J1" s="7" t="s">
        <v>53</v>
      </c>
      <c r="K1" s="7" t="s">
        <v>49</v>
      </c>
      <c r="L1" s="7" t="s">
        <v>54</v>
      </c>
      <c r="M1" s="7"/>
      <c r="N1" s="7" t="s">
        <v>5</v>
      </c>
      <c r="O1" s="7" t="s">
        <v>6</v>
      </c>
      <c r="P1" s="7" t="s">
        <v>7</v>
      </c>
      <c r="Q1" s="7" t="s">
        <v>55</v>
      </c>
      <c r="R1" s="7" t="s">
        <v>56</v>
      </c>
      <c r="S1" s="16" t="s">
        <v>57</v>
      </c>
      <c r="T1" s="7" t="s">
        <v>58</v>
      </c>
      <c r="U1" s="7" t="s">
        <v>59</v>
      </c>
      <c r="V1" s="7" t="s">
        <v>60</v>
      </c>
      <c r="W1" s="7" t="s">
        <v>61</v>
      </c>
      <c r="X1" s="7" t="s">
        <v>62</v>
      </c>
      <c r="Z1" s="3" t="s">
        <v>43</v>
      </c>
    </row>
    <row r="2" spans="1:26" s="4" customFormat="1" x14ac:dyDescent="0.2">
      <c r="A2" s="8" t="s">
        <v>0</v>
      </c>
      <c r="B2" s="9" t="s">
        <v>11</v>
      </c>
      <c r="C2" s="9">
        <v>15</v>
      </c>
      <c r="D2" s="9" t="s">
        <v>8</v>
      </c>
      <c r="E2" s="9">
        <v>80</v>
      </c>
      <c r="F2" s="9" t="s">
        <v>11</v>
      </c>
      <c r="G2" s="9" t="s">
        <v>11</v>
      </c>
      <c r="H2" s="9" t="s">
        <v>11</v>
      </c>
      <c r="I2" s="9" t="s">
        <v>11</v>
      </c>
      <c r="J2" s="9" t="s">
        <v>11</v>
      </c>
      <c r="K2" s="9" t="s">
        <v>11</v>
      </c>
      <c r="L2" s="9" t="s">
        <v>11</v>
      </c>
      <c r="M2" s="9"/>
      <c r="N2" s="9" t="s">
        <v>11</v>
      </c>
      <c r="O2" s="9">
        <v>8</v>
      </c>
      <c r="P2" s="9" t="s">
        <v>9</v>
      </c>
      <c r="Q2" s="9">
        <v>15</v>
      </c>
      <c r="R2" s="9" t="s">
        <v>11</v>
      </c>
      <c r="S2" s="9" t="s">
        <v>11</v>
      </c>
      <c r="T2" s="9" t="s">
        <v>11</v>
      </c>
      <c r="U2" s="9" t="s">
        <v>11</v>
      </c>
      <c r="V2" s="9" t="s">
        <v>11</v>
      </c>
      <c r="W2" s="9" t="s">
        <v>11</v>
      </c>
      <c r="X2" s="9" t="s">
        <v>11</v>
      </c>
    </row>
    <row r="3" spans="1:26" s="4" customFormat="1" x14ac:dyDescent="0.2">
      <c r="A3" s="8" t="s">
        <v>1</v>
      </c>
      <c r="B3" s="9" t="s">
        <v>11</v>
      </c>
      <c r="C3" s="9" t="s">
        <v>10</v>
      </c>
      <c r="D3" s="9">
        <v>18</v>
      </c>
      <c r="E3" s="9" t="s">
        <v>11</v>
      </c>
      <c r="F3" s="9">
        <v>44</v>
      </c>
      <c r="G3" s="9" t="s">
        <v>11</v>
      </c>
      <c r="H3" s="9" t="s">
        <v>11</v>
      </c>
      <c r="I3" s="9" t="s">
        <v>11</v>
      </c>
      <c r="J3" s="9" t="s">
        <v>11</v>
      </c>
      <c r="K3" s="9" t="s">
        <v>11</v>
      </c>
      <c r="L3" s="9" t="s">
        <v>11</v>
      </c>
      <c r="M3" s="9"/>
      <c r="N3" s="9" t="s">
        <v>11</v>
      </c>
      <c r="O3" s="9" t="s">
        <v>44</v>
      </c>
      <c r="P3" s="9">
        <v>0</v>
      </c>
      <c r="Q3" s="9" t="s">
        <v>11</v>
      </c>
      <c r="R3" s="9">
        <v>0</v>
      </c>
      <c r="S3" s="9" t="s">
        <v>11</v>
      </c>
      <c r="T3" s="9" t="s">
        <v>11</v>
      </c>
      <c r="U3" s="9" t="s">
        <v>11</v>
      </c>
      <c r="V3" s="9" t="s">
        <v>11</v>
      </c>
      <c r="W3" s="9" t="s">
        <v>11</v>
      </c>
      <c r="X3" s="9" t="s">
        <v>11</v>
      </c>
    </row>
    <row r="4" spans="1:26" s="4" customFormat="1" x14ac:dyDescent="0.2">
      <c r="A4" s="8" t="s">
        <v>2</v>
      </c>
      <c r="B4" s="9" t="s">
        <v>11</v>
      </c>
      <c r="C4" s="9" t="s">
        <v>11</v>
      </c>
      <c r="D4" s="9" t="s">
        <v>46</v>
      </c>
      <c r="E4" s="9" t="s">
        <v>11</v>
      </c>
      <c r="F4" s="9" t="s">
        <v>11</v>
      </c>
      <c r="G4" s="9" t="s">
        <v>11</v>
      </c>
      <c r="H4" s="9" t="s">
        <v>11</v>
      </c>
      <c r="I4" s="9">
        <v>19</v>
      </c>
      <c r="J4" s="9" t="s">
        <v>11</v>
      </c>
      <c r="K4" s="9" t="s">
        <v>11</v>
      </c>
      <c r="L4" s="9" t="s">
        <v>11</v>
      </c>
      <c r="M4" s="9"/>
      <c r="N4" s="9" t="s">
        <v>11</v>
      </c>
      <c r="O4" s="9" t="s">
        <v>11</v>
      </c>
      <c r="P4" s="9" t="s">
        <v>45</v>
      </c>
      <c r="Q4" s="9" t="s">
        <v>11</v>
      </c>
      <c r="R4" s="9" t="s">
        <v>11</v>
      </c>
      <c r="S4" s="9" t="s">
        <v>11</v>
      </c>
      <c r="T4" s="9" t="s">
        <v>11</v>
      </c>
      <c r="U4" s="9">
        <v>0</v>
      </c>
      <c r="V4" s="9" t="s">
        <v>11</v>
      </c>
      <c r="W4" s="9" t="s">
        <v>11</v>
      </c>
      <c r="X4" s="9" t="s">
        <v>11</v>
      </c>
    </row>
    <row r="5" spans="1:26" s="4" customFormat="1" x14ac:dyDescent="0.2">
      <c r="A5" s="8" t="s">
        <v>3</v>
      </c>
      <c r="B5" s="9" t="s">
        <v>11</v>
      </c>
      <c r="C5" s="9" t="s">
        <v>11</v>
      </c>
      <c r="D5" s="9">
        <v>16</v>
      </c>
      <c r="E5" s="9" t="s">
        <v>11</v>
      </c>
      <c r="F5" s="9" t="s">
        <v>11</v>
      </c>
      <c r="G5" s="9" t="s">
        <v>11</v>
      </c>
      <c r="H5" s="9" t="s">
        <v>11</v>
      </c>
      <c r="I5" s="9" t="s">
        <v>11</v>
      </c>
      <c r="J5" s="9" t="s">
        <v>11</v>
      </c>
      <c r="K5" s="9" t="s">
        <v>11</v>
      </c>
      <c r="L5" s="9" t="s">
        <v>11</v>
      </c>
      <c r="M5" s="9"/>
      <c r="N5" s="9" t="s">
        <v>11</v>
      </c>
      <c r="O5" s="9" t="s">
        <v>11</v>
      </c>
      <c r="P5" s="9">
        <v>12</v>
      </c>
      <c r="Q5" s="9" t="s">
        <v>11</v>
      </c>
      <c r="R5" s="9" t="s">
        <v>11</v>
      </c>
      <c r="S5" s="9" t="s">
        <v>11</v>
      </c>
      <c r="T5" s="9" t="s">
        <v>11</v>
      </c>
      <c r="U5" s="9" t="s">
        <v>11</v>
      </c>
      <c r="V5" s="9" t="s">
        <v>11</v>
      </c>
      <c r="W5" s="9" t="s">
        <v>11</v>
      </c>
      <c r="X5" s="9" t="s">
        <v>11</v>
      </c>
    </row>
    <row r="6" spans="1:26" s="4" customFormat="1" x14ac:dyDescent="0.2">
      <c r="A6" s="8" t="s">
        <v>4</v>
      </c>
      <c r="B6" s="9" t="s">
        <v>11</v>
      </c>
      <c r="C6" s="9" t="s">
        <v>15</v>
      </c>
      <c r="D6" s="9" t="s">
        <v>17</v>
      </c>
      <c r="E6" s="9" t="s">
        <v>11</v>
      </c>
      <c r="F6" s="9" t="s">
        <v>11</v>
      </c>
      <c r="G6" s="9" t="s">
        <v>11</v>
      </c>
      <c r="H6" s="9" t="s">
        <v>11</v>
      </c>
      <c r="I6" s="9" t="s">
        <v>11</v>
      </c>
      <c r="J6" s="9" t="s">
        <v>11</v>
      </c>
      <c r="K6" s="9" t="s">
        <v>11</v>
      </c>
      <c r="L6" s="9" t="s">
        <v>11</v>
      </c>
      <c r="M6" s="9"/>
      <c r="N6" s="9" t="s">
        <v>11</v>
      </c>
      <c r="O6" s="9" t="s">
        <v>16</v>
      </c>
      <c r="P6" s="9" t="s">
        <v>18</v>
      </c>
      <c r="Q6" s="9" t="s">
        <v>11</v>
      </c>
      <c r="R6" s="9" t="s">
        <v>11</v>
      </c>
      <c r="S6" s="9" t="s">
        <v>11</v>
      </c>
      <c r="T6" s="9" t="s">
        <v>11</v>
      </c>
      <c r="U6" s="9" t="s">
        <v>11</v>
      </c>
      <c r="V6" s="9" t="s">
        <v>11</v>
      </c>
      <c r="W6" s="9" t="s">
        <v>11</v>
      </c>
      <c r="X6" s="9" t="s">
        <v>11</v>
      </c>
    </row>
    <row r="7" spans="1:26" x14ac:dyDescent="0.2">
      <c r="A7" s="6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1:26" s="5" customFormat="1" x14ac:dyDescent="0.2">
      <c r="A8" s="11" t="s">
        <v>22</v>
      </c>
      <c r="B8" s="12" t="s">
        <v>29</v>
      </c>
      <c r="C8" s="12" t="s">
        <v>11</v>
      </c>
      <c r="D8" s="12" t="s">
        <v>11</v>
      </c>
      <c r="E8" s="12" t="s">
        <v>11</v>
      </c>
      <c r="F8" s="12" t="s">
        <v>11</v>
      </c>
      <c r="G8" s="12" t="s">
        <v>11</v>
      </c>
      <c r="H8" s="12" t="s">
        <v>11</v>
      </c>
      <c r="I8" s="12" t="s">
        <v>11</v>
      </c>
      <c r="J8" s="12" t="s">
        <v>11</v>
      </c>
      <c r="K8" s="12" t="s">
        <v>11</v>
      </c>
      <c r="L8" s="12" t="s">
        <v>11</v>
      </c>
      <c r="M8" s="12"/>
      <c r="N8" s="12" t="s">
        <v>30</v>
      </c>
      <c r="O8" s="12" t="s">
        <v>11</v>
      </c>
      <c r="P8" s="12" t="s">
        <v>11</v>
      </c>
      <c r="Q8" s="12" t="s">
        <v>11</v>
      </c>
      <c r="R8" s="12" t="s">
        <v>11</v>
      </c>
      <c r="S8" s="12" t="s">
        <v>11</v>
      </c>
      <c r="T8" s="12" t="s">
        <v>11</v>
      </c>
      <c r="U8" s="12" t="s">
        <v>11</v>
      </c>
      <c r="V8" s="12" t="s">
        <v>11</v>
      </c>
      <c r="W8" s="12" t="s">
        <v>11</v>
      </c>
      <c r="X8" s="12" t="s">
        <v>11</v>
      </c>
    </row>
    <row r="9" spans="1:26" s="5" customFormat="1" x14ac:dyDescent="0.2">
      <c r="A9" s="11" t="s">
        <v>23</v>
      </c>
      <c r="B9" s="12" t="s">
        <v>31</v>
      </c>
      <c r="C9" s="12" t="s">
        <v>11</v>
      </c>
      <c r="D9" s="12" t="s">
        <v>11</v>
      </c>
      <c r="E9" s="12" t="s">
        <v>11</v>
      </c>
      <c r="F9" s="12" t="s">
        <v>11</v>
      </c>
      <c r="G9" s="12" t="s">
        <v>11</v>
      </c>
      <c r="H9" s="12" t="s">
        <v>11</v>
      </c>
      <c r="I9" s="12" t="s">
        <v>11</v>
      </c>
      <c r="J9" s="12" t="s">
        <v>11</v>
      </c>
      <c r="K9" s="12" t="s">
        <v>11</v>
      </c>
      <c r="L9" s="12" t="s">
        <v>11</v>
      </c>
      <c r="M9" s="12"/>
      <c r="N9" s="12" t="s">
        <v>32</v>
      </c>
      <c r="O9" s="12" t="s">
        <v>11</v>
      </c>
      <c r="P9" s="12" t="s">
        <v>11</v>
      </c>
      <c r="Q9" s="12" t="s">
        <v>11</v>
      </c>
      <c r="R9" s="12" t="s">
        <v>11</v>
      </c>
      <c r="S9" s="12" t="s">
        <v>11</v>
      </c>
      <c r="T9" s="12" t="s">
        <v>11</v>
      </c>
      <c r="U9" s="12" t="s">
        <v>11</v>
      </c>
      <c r="V9" s="12" t="s">
        <v>11</v>
      </c>
      <c r="W9" s="12" t="s">
        <v>11</v>
      </c>
      <c r="X9" s="12" t="s">
        <v>11</v>
      </c>
    </row>
    <row r="10" spans="1:26" s="5" customFormat="1" x14ac:dyDescent="0.2">
      <c r="A10" s="11" t="s">
        <v>28</v>
      </c>
      <c r="B10" s="12" t="s">
        <v>35</v>
      </c>
      <c r="C10" s="12" t="s">
        <v>11</v>
      </c>
      <c r="D10" s="12" t="s">
        <v>33</v>
      </c>
      <c r="E10" s="12" t="s">
        <v>11</v>
      </c>
      <c r="F10" s="12" t="s">
        <v>11</v>
      </c>
      <c r="G10" s="12" t="s">
        <v>11</v>
      </c>
      <c r="H10" s="12" t="s">
        <v>11</v>
      </c>
      <c r="I10" s="12" t="s">
        <v>11</v>
      </c>
      <c r="J10" s="12" t="s">
        <v>11</v>
      </c>
      <c r="K10" s="12" t="s">
        <v>11</v>
      </c>
      <c r="L10" s="12" t="s">
        <v>11</v>
      </c>
      <c r="M10" s="12"/>
      <c r="N10" s="12" t="s">
        <v>36</v>
      </c>
      <c r="O10" s="12" t="s">
        <v>11</v>
      </c>
      <c r="P10" s="12" t="s">
        <v>34</v>
      </c>
      <c r="Q10" s="12" t="s">
        <v>11</v>
      </c>
      <c r="R10" s="12" t="s">
        <v>11</v>
      </c>
      <c r="S10" s="12" t="s">
        <v>11</v>
      </c>
      <c r="T10" s="12" t="s">
        <v>11</v>
      </c>
      <c r="U10" s="12" t="s">
        <v>11</v>
      </c>
      <c r="V10" s="12" t="s">
        <v>11</v>
      </c>
      <c r="W10" s="12" t="s">
        <v>11</v>
      </c>
      <c r="X10" s="12" t="s">
        <v>11</v>
      </c>
    </row>
    <row r="11" spans="1:26" s="5" customFormat="1" x14ac:dyDescent="0.2">
      <c r="A11" s="11" t="s">
        <v>24</v>
      </c>
      <c r="B11" s="12" t="s">
        <v>37</v>
      </c>
      <c r="C11" s="12">
        <v>24</v>
      </c>
      <c r="D11" s="12" t="s">
        <v>11</v>
      </c>
      <c r="E11" s="12" t="s">
        <v>11</v>
      </c>
      <c r="F11" s="12" t="s">
        <v>11</v>
      </c>
      <c r="G11" s="12" t="s">
        <v>11</v>
      </c>
      <c r="H11" s="12" t="s">
        <v>11</v>
      </c>
      <c r="I11" s="12" t="s">
        <v>11</v>
      </c>
      <c r="J11" s="12" t="s">
        <v>11</v>
      </c>
      <c r="K11" s="12" t="s">
        <v>11</v>
      </c>
      <c r="L11" s="12" t="s">
        <v>11</v>
      </c>
      <c r="M11" s="12"/>
      <c r="N11" s="12" t="s">
        <v>38</v>
      </c>
      <c r="O11" s="12">
        <v>0</v>
      </c>
      <c r="P11" s="12" t="s">
        <v>11</v>
      </c>
      <c r="Q11" s="12" t="s">
        <v>11</v>
      </c>
      <c r="R11" s="12" t="s">
        <v>11</v>
      </c>
      <c r="S11" s="12" t="s">
        <v>11</v>
      </c>
      <c r="T11" s="12" t="s">
        <v>11</v>
      </c>
      <c r="U11" s="12" t="s">
        <v>11</v>
      </c>
      <c r="V11" s="12" t="s">
        <v>11</v>
      </c>
      <c r="W11" s="12" t="s">
        <v>11</v>
      </c>
      <c r="X11" s="12" t="s">
        <v>11</v>
      </c>
    </row>
    <row r="12" spans="1:26" s="5" customFormat="1" x14ac:dyDescent="0.2">
      <c r="A12" s="11" t="s">
        <v>25</v>
      </c>
      <c r="B12" s="13" t="s">
        <v>39</v>
      </c>
      <c r="C12" s="12" t="s">
        <v>11</v>
      </c>
      <c r="D12" s="12" t="s">
        <v>11</v>
      </c>
      <c r="E12" s="12" t="s">
        <v>11</v>
      </c>
      <c r="F12" s="12" t="s">
        <v>11</v>
      </c>
      <c r="G12" s="12" t="s">
        <v>11</v>
      </c>
      <c r="H12" s="12" t="s">
        <v>11</v>
      </c>
      <c r="I12" s="12" t="s">
        <v>11</v>
      </c>
      <c r="J12" s="12" t="s">
        <v>11</v>
      </c>
      <c r="K12" s="12" t="s">
        <v>11</v>
      </c>
      <c r="L12" s="12" t="s">
        <v>11</v>
      </c>
      <c r="M12" s="12"/>
      <c r="N12" s="13" t="s">
        <v>40</v>
      </c>
      <c r="O12" s="12" t="s">
        <v>11</v>
      </c>
      <c r="P12" s="12" t="s">
        <v>11</v>
      </c>
      <c r="Q12" s="12" t="s">
        <v>11</v>
      </c>
      <c r="R12" s="12" t="s">
        <v>11</v>
      </c>
      <c r="S12" s="12" t="s">
        <v>11</v>
      </c>
      <c r="T12" s="12" t="s">
        <v>11</v>
      </c>
      <c r="U12" s="12" t="s">
        <v>11</v>
      </c>
      <c r="V12" s="12" t="s">
        <v>11</v>
      </c>
      <c r="W12" s="12" t="s">
        <v>11</v>
      </c>
      <c r="X12" s="12" t="s">
        <v>11</v>
      </c>
    </row>
    <row r="13" spans="1:26" s="5" customFormat="1" x14ac:dyDescent="0.2">
      <c r="A13" s="11" t="s">
        <v>26</v>
      </c>
      <c r="B13" s="13">
        <v>23</v>
      </c>
      <c r="C13" s="12" t="s">
        <v>11</v>
      </c>
      <c r="D13" s="12" t="s">
        <v>11</v>
      </c>
      <c r="E13" s="12" t="s">
        <v>11</v>
      </c>
      <c r="F13" s="12" t="s">
        <v>11</v>
      </c>
      <c r="G13" s="12">
        <v>43</v>
      </c>
      <c r="H13" s="12" t="s">
        <v>11</v>
      </c>
      <c r="I13" s="12" t="s">
        <v>11</v>
      </c>
      <c r="J13" s="12" t="s">
        <v>11</v>
      </c>
      <c r="K13" s="12" t="s">
        <v>11</v>
      </c>
      <c r="L13" s="12">
        <v>19</v>
      </c>
      <c r="M13" s="14"/>
      <c r="N13" s="13">
        <v>27</v>
      </c>
      <c r="O13" s="12" t="s">
        <v>11</v>
      </c>
      <c r="P13" s="12" t="s">
        <v>11</v>
      </c>
      <c r="Q13" s="12" t="s">
        <v>11</v>
      </c>
      <c r="R13" s="12" t="s">
        <v>11</v>
      </c>
      <c r="S13" s="12">
        <v>48</v>
      </c>
      <c r="T13" s="12" t="s">
        <v>11</v>
      </c>
      <c r="U13" s="12" t="s">
        <v>11</v>
      </c>
      <c r="V13" s="12" t="s">
        <v>11</v>
      </c>
      <c r="W13" s="12" t="s">
        <v>11</v>
      </c>
      <c r="X13" s="12">
        <v>13</v>
      </c>
    </row>
    <row r="14" spans="1:26" s="5" customFormat="1" x14ac:dyDescent="0.2">
      <c r="A14" s="11" t="s">
        <v>27</v>
      </c>
      <c r="B14" s="13" t="s">
        <v>41</v>
      </c>
      <c r="C14" s="12" t="s">
        <v>11</v>
      </c>
      <c r="D14" s="12" t="s">
        <v>11</v>
      </c>
      <c r="E14" s="12">
        <v>32</v>
      </c>
      <c r="F14" s="12" t="s">
        <v>11</v>
      </c>
      <c r="G14" s="12" t="s">
        <v>11</v>
      </c>
      <c r="H14" s="12" t="s">
        <v>11</v>
      </c>
      <c r="I14" s="12" t="s">
        <v>11</v>
      </c>
      <c r="J14" s="12" t="s">
        <v>11</v>
      </c>
      <c r="K14" s="12" t="s">
        <v>11</v>
      </c>
      <c r="L14" s="12" t="s">
        <v>11</v>
      </c>
      <c r="M14" s="12"/>
      <c r="N14" s="13" t="s">
        <v>42</v>
      </c>
      <c r="O14" s="12" t="s">
        <v>11</v>
      </c>
      <c r="P14" s="12" t="s">
        <v>11</v>
      </c>
      <c r="Q14" s="12">
        <v>37</v>
      </c>
      <c r="R14" s="12" t="s">
        <v>11</v>
      </c>
      <c r="S14" s="12" t="s">
        <v>11</v>
      </c>
      <c r="T14" s="12" t="s">
        <v>11</v>
      </c>
      <c r="U14" s="12" t="s">
        <v>11</v>
      </c>
      <c r="V14" s="12" t="s">
        <v>11</v>
      </c>
      <c r="W14" s="12" t="s">
        <v>11</v>
      </c>
      <c r="X14" s="12" t="s">
        <v>11</v>
      </c>
    </row>
    <row r="15" spans="1:26" s="5" customFormat="1" x14ac:dyDescent="0.2">
      <c r="A15" s="11" t="s">
        <v>63</v>
      </c>
      <c r="B15" s="12" t="s">
        <v>11</v>
      </c>
      <c r="C15" s="12" t="s">
        <v>11</v>
      </c>
      <c r="D15" s="12" t="s">
        <v>11</v>
      </c>
      <c r="E15" s="12" t="s">
        <v>11</v>
      </c>
      <c r="F15" s="12" t="s">
        <v>11</v>
      </c>
      <c r="G15" s="12" t="s">
        <v>11</v>
      </c>
      <c r="H15" s="12" t="s">
        <v>71</v>
      </c>
      <c r="I15" s="12" t="s">
        <v>11</v>
      </c>
      <c r="J15" s="12">
        <v>28</v>
      </c>
      <c r="K15" s="12" t="s">
        <v>11</v>
      </c>
      <c r="L15" s="12" t="s">
        <v>11</v>
      </c>
      <c r="M15" s="12"/>
      <c r="N15" s="12" t="s">
        <v>11</v>
      </c>
      <c r="O15" s="12" t="s">
        <v>11</v>
      </c>
      <c r="P15" s="12" t="s">
        <v>11</v>
      </c>
      <c r="Q15" s="12" t="s">
        <v>11</v>
      </c>
      <c r="R15" s="12" t="s">
        <v>11</v>
      </c>
      <c r="S15" s="12" t="s">
        <v>11</v>
      </c>
      <c r="T15" s="12" t="s">
        <v>72</v>
      </c>
      <c r="U15" s="12" t="s">
        <v>11</v>
      </c>
      <c r="V15" s="12">
        <v>29</v>
      </c>
      <c r="W15" s="12" t="s">
        <v>11</v>
      </c>
      <c r="X15" s="12" t="s">
        <v>11</v>
      </c>
    </row>
    <row r="16" spans="1:26" s="5" customFormat="1" x14ac:dyDescent="0.2">
      <c r="A16" s="11" t="s">
        <v>64</v>
      </c>
      <c r="B16" s="12" t="s">
        <v>11</v>
      </c>
      <c r="C16" s="12" t="s">
        <v>11</v>
      </c>
      <c r="D16" s="12" t="s">
        <v>11</v>
      </c>
      <c r="E16" s="12" t="s">
        <v>11</v>
      </c>
      <c r="F16" s="12" t="s">
        <v>11</v>
      </c>
      <c r="G16" s="12">
        <v>18.100000000000001</v>
      </c>
      <c r="H16" s="12" t="s">
        <v>11</v>
      </c>
      <c r="I16" s="12" t="s">
        <v>11</v>
      </c>
      <c r="J16" s="12" t="s">
        <v>11</v>
      </c>
      <c r="K16" s="12" t="s">
        <v>11</v>
      </c>
      <c r="L16" s="12" t="s">
        <v>11</v>
      </c>
      <c r="M16" s="12"/>
      <c r="N16" s="12" t="s">
        <v>11</v>
      </c>
      <c r="O16" s="12" t="s">
        <v>11</v>
      </c>
      <c r="P16" s="12" t="s">
        <v>11</v>
      </c>
      <c r="Q16" s="12" t="s">
        <v>11</v>
      </c>
      <c r="R16" s="12" t="s">
        <v>11</v>
      </c>
      <c r="S16" s="12">
        <v>17.7</v>
      </c>
      <c r="T16" s="12" t="s">
        <v>11</v>
      </c>
      <c r="U16" s="12" t="s">
        <v>11</v>
      </c>
      <c r="V16" s="12" t="s">
        <v>11</v>
      </c>
      <c r="W16" s="12" t="s">
        <v>11</v>
      </c>
      <c r="X16" s="12" t="s">
        <v>11</v>
      </c>
    </row>
    <row r="17" spans="1:24" s="5" customFormat="1" x14ac:dyDescent="0.2">
      <c r="A17" s="11" t="s">
        <v>65</v>
      </c>
      <c r="B17" s="12" t="s">
        <v>11</v>
      </c>
      <c r="C17" s="12">
        <v>23</v>
      </c>
      <c r="D17" s="12" t="s">
        <v>11</v>
      </c>
      <c r="E17" s="12" t="s">
        <v>11</v>
      </c>
      <c r="F17" s="12" t="s">
        <v>11</v>
      </c>
      <c r="G17" s="12" t="s">
        <v>11</v>
      </c>
      <c r="H17" s="12" t="s">
        <v>11</v>
      </c>
      <c r="I17" s="12" t="s">
        <v>11</v>
      </c>
      <c r="J17" s="12" t="s">
        <v>11</v>
      </c>
      <c r="K17" s="12">
        <v>33</v>
      </c>
      <c r="L17" s="12" t="s">
        <v>11</v>
      </c>
      <c r="M17" s="12"/>
      <c r="N17" s="12" t="s">
        <v>11</v>
      </c>
      <c r="O17" s="12">
        <v>24</v>
      </c>
      <c r="P17" s="12" t="s">
        <v>11</v>
      </c>
      <c r="Q17" s="12" t="s">
        <v>11</v>
      </c>
      <c r="R17" s="12" t="s">
        <v>11</v>
      </c>
      <c r="S17" s="12" t="s">
        <v>11</v>
      </c>
      <c r="T17" s="12" t="s">
        <v>11</v>
      </c>
      <c r="U17" s="12" t="s">
        <v>11</v>
      </c>
      <c r="V17" s="12" t="s">
        <v>11</v>
      </c>
      <c r="W17" s="12">
        <v>36</v>
      </c>
      <c r="X17" s="12" t="s">
        <v>11</v>
      </c>
    </row>
    <row r="18" spans="1:24" s="5" customFormat="1" x14ac:dyDescent="0.2">
      <c r="A18" s="11" t="s">
        <v>66</v>
      </c>
      <c r="B18" s="12" t="s">
        <v>11</v>
      </c>
      <c r="C18" s="12" t="s">
        <v>73</v>
      </c>
      <c r="D18" s="12">
        <v>16</v>
      </c>
      <c r="E18" s="12">
        <v>15</v>
      </c>
      <c r="F18" s="12" t="s">
        <v>11</v>
      </c>
      <c r="G18" s="12" t="s">
        <v>11</v>
      </c>
      <c r="H18" s="12" t="s">
        <v>11</v>
      </c>
      <c r="I18" s="12" t="s">
        <v>11</v>
      </c>
      <c r="J18" s="12" t="s">
        <v>11</v>
      </c>
      <c r="K18" s="12" t="s">
        <v>11</v>
      </c>
      <c r="L18" s="12" t="s">
        <v>11</v>
      </c>
      <c r="M18" s="12"/>
      <c r="N18" s="12" t="s">
        <v>11</v>
      </c>
      <c r="O18" s="12" t="s">
        <v>44</v>
      </c>
      <c r="P18" s="12">
        <v>26</v>
      </c>
      <c r="Q18" s="12">
        <v>0</v>
      </c>
      <c r="R18" s="12" t="s">
        <v>11</v>
      </c>
      <c r="S18" s="12" t="s">
        <v>11</v>
      </c>
      <c r="T18" s="12" t="s">
        <v>11</v>
      </c>
      <c r="U18" s="12" t="s">
        <v>11</v>
      </c>
      <c r="V18" s="12" t="s">
        <v>11</v>
      </c>
      <c r="W18" s="12" t="s">
        <v>11</v>
      </c>
      <c r="X18" s="12" t="s">
        <v>11</v>
      </c>
    </row>
    <row r="19" spans="1:24" s="5" customFormat="1" x14ac:dyDescent="0.2">
      <c r="A19" s="11" t="s">
        <v>67</v>
      </c>
      <c r="B19" s="12" t="s">
        <v>11</v>
      </c>
      <c r="C19" s="12" t="s">
        <v>11</v>
      </c>
      <c r="D19" s="12" t="s">
        <v>11</v>
      </c>
      <c r="E19" s="12">
        <v>26</v>
      </c>
      <c r="F19" s="12">
        <v>65</v>
      </c>
      <c r="G19" s="12" t="s">
        <v>11</v>
      </c>
      <c r="H19" s="12" t="s">
        <v>11</v>
      </c>
      <c r="I19" s="12">
        <v>61</v>
      </c>
      <c r="J19" s="12" t="s">
        <v>11</v>
      </c>
      <c r="K19" s="12" t="s">
        <v>11</v>
      </c>
      <c r="L19" s="12" t="s">
        <v>11</v>
      </c>
      <c r="M19" s="12"/>
      <c r="N19" s="12" t="s">
        <v>11</v>
      </c>
      <c r="O19" s="12" t="s">
        <v>11</v>
      </c>
      <c r="P19" s="12" t="s">
        <v>11</v>
      </c>
      <c r="Q19" s="12">
        <v>29</v>
      </c>
      <c r="R19" s="12">
        <v>71</v>
      </c>
      <c r="S19" s="12" t="s">
        <v>11</v>
      </c>
      <c r="T19" s="12" t="s">
        <v>11</v>
      </c>
      <c r="U19" s="12">
        <v>65</v>
      </c>
      <c r="V19" s="12" t="s">
        <v>11</v>
      </c>
      <c r="W19" s="12" t="s">
        <v>11</v>
      </c>
      <c r="X19" s="12" t="s">
        <v>11</v>
      </c>
    </row>
    <row r="20" spans="1:24" s="5" customFormat="1" x14ac:dyDescent="0.2">
      <c r="A20" s="11" t="s">
        <v>68</v>
      </c>
      <c r="B20" s="12" t="s">
        <v>11</v>
      </c>
      <c r="C20" s="13">
        <v>28.2</v>
      </c>
      <c r="D20" s="13">
        <v>18.7</v>
      </c>
      <c r="E20" s="12" t="s">
        <v>11</v>
      </c>
      <c r="F20" s="13">
        <v>68.3</v>
      </c>
      <c r="G20" s="12" t="s">
        <v>11</v>
      </c>
      <c r="H20" s="12" t="s">
        <v>11</v>
      </c>
      <c r="I20" s="12" t="s">
        <v>11</v>
      </c>
      <c r="J20" s="12" t="s">
        <v>11</v>
      </c>
      <c r="K20" s="12" t="s">
        <v>11</v>
      </c>
      <c r="L20" s="12" t="s">
        <v>11</v>
      </c>
      <c r="M20" s="12"/>
      <c r="N20" s="12" t="s">
        <v>11</v>
      </c>
      <c r="O20" s="13">
        <v>21.7</v>
      </c>
      <c r="P20" s="13">
        <v>11</v>
      </c>
      <c r="Q20" s="12" t="s">
        <v>11</v>
      </c>
      <c r="R20" s="13">
        <v>112.3</v>
      </c>
      <c r="S20" s="12" t="s">
        <v>11</v>
      </c>
      <c r="T20" s="12" t="s">
        <v>11</v>
      </c>
      <c r="U20" s="12" t="s">
        <v>11</v>
      </c>
      <c r="V20" s="12" t="s">
        <v>11</v>
      </c>
      <c r="W20" s="12" t="s">
        <v>11</v>
      </c>
      <c r="X20" s="12" t="s">
        <v>11</v>
      </c>
    </row>
    <row r="21" spans="1:24" s="5" customFormat="1" x14ac:dyDescent="0.2">
      <c r="A21" s="11" t="s">
        <v>69</v>
      </c>
      <c r="B21" s="12" t="s">
        <v>11</v>
      </c>
      <c r="C21" s="12" t="s">
        <v>74</v>
      </c>
      <c r="D21" s="12" t="s">
        <v>11</v>
      </c>
      <c r="E21" s="12" t="s">
        <v>11</v>
      </c>
      <c r="F21" s="12" t="s">
        <v>11</v>
      </c>
      <c r="G21" s="12">
        <v>19</v>
      </c>
      <c r="H21" s="12" t="s">
        <v>11</v>
      </c>
      <c r="I21" s="12" t="s">
        <v>11</v>
      </c>
      <c r="J21" s="12" t="s">
        <v>11</v>
      </c>
      <c r="K21" s="12" t="s">
        <v>11</v>
      </c>
      <c r="L21" s="12" t="s">
        <v>11</v>
      </c>
      <c r="M21" s="12"/>
      <c r="N21" s="12" t="s">
        <v>11</v>
      </c>
      <c r="O21" s="12" t="s">
        <v>75</v>
      </c>
      <c r="P21" s="12" t="s">
        <v>11</v>
      </c>
      <c r="Q21" s="12" t="s">
        <v>11</v>
      </c>
      <c r="R21" s="12" t="s">
        <v>11</v>
      </c>
      <c r="S21" s="12">
        <v>13</v>
      </c>
      <c r="T21" s="12" t="s">
        <v>11</v>
      </c>
      <c r="U21" s="12" t="s">
        <v>11</v>
      </c>
      <c r="V21" s="12" t="s">
        <v>11</v>
      </c>
      <c r="W21" s="12" t="s">
        <v>11</v>
      </c>
      <c r="X21" s="12" t="s">
        <v>11</v>
      </c>
    </row>
    <row r="22" spans="1:24" s="5" customFormat="1" x14ac:dyDescent="0.2">
      <c r="A22" s="11" t="s">
        <v>70</v>
      </c>
      <c r="B22" s="12" t="s">
        <v>11</v>
      </c>
      <c r="C22" s="12" t="s">
        <v>11</v>
      </c>
      <c r="D22" s="12" t="s">
        <v>11</v>
      </c>
      <c r="E22" s="12">
        <v>33</v>
      </c>
      <c r="F22" s="12" t="s">
        <v>11</v>
      </c>
      <c r="G22" s="12" t="s">
        <v>11</v>
      </c>
      <c r="H22" s="12" t="s">
        <v>11</v>
      </c>
      <c r="I22" s="12" t="s">
        <v>11</v>
      </c>
      <c r="J22" s="12" t="s">
        <v>11</v>
      </c>
      <c r="K22" s="12" t="s">
        <v>11</v>
      </c>
      <c r="L22" s="12" t="s">
        <v>11</v>
      </c>
      <c r="M22" s="12"/>
      <c r="N22" s="12" t="s">
        <v>11</v>
      </c>
      <c r="O22" s="12" t="s">
        <v>11</v>
      </c>
      <c r="P22" s="12" t="s">
        <v>11</v>
      </c>
      <c r="Q22" s="12">
        <v>46</v>
      </c>
      <c r="R22" s="12" t="s">
        <v>11</v>
      </c>
      <c r="S22" s="12" t="s">
        <v>11</v>
      </c>
      <c r="T22" s="12" t="s">
        <v>11</v>
      </c>
      <c r="U22" s="12" t="s">
        <v>11</v>
      </c>
      <c r="V22" s="12" t="s">
        <v>11</v>
      </c>
      <c r="W22" s="12" t="s">
        <v>11</v>
      </c>
      <c r="X22" s="12" t="s">
        <v>11</v>
      </c>
    </row>
    <row r="23" spans="1:24" x14ac:dyDescent="0.2">
      <c r="A23" s="6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spans="1:24" x14ac:dyDescent="0.2">
      <c r="A24" s="6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spans="1:24" ht="68" x14ac:dyDescent="0.2">
      <c r="A25" s="6"/>
      <c r="B25" s="15" t="s">
        <v>19</v>
      </c>
      <c r="C25" s="15" t="s">
        <v>20</v>
      </c>
      <c r="D25" s="15" t="s">
        <v>21</v>
      </c>
      <c r="E25" s="15" t="s">
        <v>76</v>
      </c>
      <c r="F25" s="15" t="s">
        <v>77</v>
      </c>
      <c r="G25" s="15" t="s">
        <v>78</v>
      </c>
      <c r="H25" s="15" t="s">
        <v>79</v>
      </c>
      <c r="I25" s="15" t="s">
        <v>80</v>
      </c>
      <c r="J25" s="15" t="s">
        <v>81</v>
      </c>
      <c r="K25" s="15" t="s">
        <v>82</v>
      </c>
      <c r="L25" s="15" t="s">
        <v>83</v>
      </c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  <row r="26" spans="1:24" s="4" customFormat="1" x14ac:dyDescent="0.2">
      <c r="A26" s="8" t="s">
        <v>0</v>
      </c>
      <c r="B26" s="9" t="s">
        <v>11</v>
      </c>
      <c r="C26" s="9">
        <f>8/15</f>
        <v>0.53333333333333333</v>
      </c>
      <c r="D26" s="9">
        <f>15/48</f>
        <v>0.3125</v>
      </c>
      <c r="E26" s="9">
        <f>Q2/E2</f>
        <v>0.1875</v>
      </c>
      <c r="F26" s="9" t="s">
        <v>11</v>
      </c>
      <c r="G26" s="9" t="s">
        <v>11</v>
      </c>
      <c r="H26" s="9" t="s">
        <v>11</v>
      </c>
      <c r="I26" s="9" t="s">
        <v>11</v>
      </c>
      <c r="J26" s="9" t="s">
        <v>11</v>
      </c>
      <c r="K26" s="9" t="s">
        <v>11</v>
      </c>
      <c r="L26" s="9" t="s">
        <v>11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 spans="1:24" s="4" customFormat="1" x14ac:dyDescent="0.2">
      <c r="A27" s="8" t="s">
        <v>1</v>
      </c>
      <c r="B27" s="9" t="s">
        <v>11</v>
      </c>
      <c r="C27" s="9">
        <f>0/36</f>
        <v>0</v>
      </c>
      <c r="D27" s="9">
        <f>0/18</f>
        <v>0</v>
      </c>
      <c r="E27" s="9" t="s">
        <v>11</v>
      </c>
      <c r="F27" s="9">
        <f t="shared" ref="F27" si="0">R3/F3</f>
        <v>0</v>
      </c>
      <c r="G27" s="9" t="s">
        <v>11</v>
      </c>
      <c r="H27" s="9" t="s">
        <v>11</v>
      </c>
      <c r="I27" s="9" t="s">
        <v>11</v>
      </c>
      <c r="J27" s="9" t="s">
        <v>11</v>
      </c>
      <c r="K27" s="9" t="s">
        <v>11</v>
      </c>
      <c r="L27" s="9" t="s">
        <v>11</v>
      </c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 spans="1:24" s="4" customFormat="1" x14ac:dyDescent="0.2">
      <c r="A28" s="8" t="s">
        <v>2</v>
      </c>
      <c r="B28" s="9" t="s">
        <v>11</v>
      </c>
      <c r="C28" s="9" t="s">
        <v>11</v>
      </c>
      <c r="D28" s="9">
        <f>26/50</f>
        <v>0.52</v>
      </c>
      <c r="E28" s="9" t="s">
        <v>11</v>
      </c>
      <c r="F28" s="9" t="s">
        <v>11</v>
      </c>
      <c r="G28" s="9" t="s">
        <v>11</v>
      </c>
      <c r="H28" s="9" t="s">
        <v>11</v>
      </c>
      <c r="I28" s="9">
        <f t="shared" ref="I28" si="1">U4/I4</f>
        <v>0</v>
      </c>
      <c r="J28" s="9" t="s">
        <v>11</v>
      </c>
      <c r="K28" s="9" t="s">
        <v>11</v>
      </c>
      <c r="L28" s="9" t="s">
        <v>11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 spans="1:24" s="4" customFormat="1" x14ac:dyDescent="0.2">
      <c r="A29" s="8" t="s">
        <v>3</v>
      </c>
      <c r="B29" s="9" t="s">
        <v>11</v>
      </c>
      <c r="C29" s="9" t="s">
        <v>11</v>
      </c>
      <c r="D29" s="9">
        <f>12/16</f>
        <v>0.75</v>
      </c>
      <c r="E29" s="9" t="s">
        <v>11</v>
      </c>
      <c r="F29" s="9" t="s">
        <v>11</v>
      </c>
      <c r="G29" s="9" t="s">
        <v>11</v>
      </c>
      <c r="H29" s="9" t="s">
        <v>11</v>
      </c>
      <c r="I29" s="9" t="s">
        <v>11</v>
      </c>
      <c r="J29" s="9" t="s">
        <v>11</v>
      </c>
      <c r="K29" s="9" t="s">
        <v>11</v>
      </c>
      <c r="L29" s="9" t="s">
        <v>11</v>
      </c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</row>
    <row r="30" spans="1:24" s="4" customFormat="1" x14ac:dyDescent="0.2">
      <c r="A30" s="8" t="s">
        <v>4</v>
      </c>
      <c r="B30" s="9" t="s">
        <v>11</v>
      </c>
      <c r="C30" s="9">
        <f>18/43</f>
        <v>0.41860465116279072</v>
      </c>
      <c r="D30" s="9">
        <f>11/55</f>
        <v>0.2</v>
      </c>
      <c r="E30" s="9" t="s">
        <v>11</v>
      </c>
      <c r="F30" s="9" t="s">
        <v>11</v>
      </c>
      <c r="G30" s="9" t="s">
        <v>11</v>
      </c>
      <c r="H30" s="9" t="s">
        <v>11</v>
      </c>
      <c r="I30" s="9" t="s">
        <v>11</v>
      </c>
      <c r="J30" s="9" t="s">
        <v>11</v>
      </c>
      <c r="K30" s="9" t="s">
        <v>11</v>
      </c>
      <c r="L30" s="9" t="s">
        <v>11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</row>
    <row r="31" spans="1:24" x14ac:dyDescent="0.2">
      <c r="A31" s="6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spans="1:24" s="5" customFormat="1" x14ac:dyDescent="0.2">
      <c r="A32" s="11" t="s">
        <v>22</v>
      </c>
      <c r="B32" s="12">
        <f>65/60</f>
        <v>1.0833333333333333</v>
      </c>
      <c r="C32" s="12" t="s">
        <v>11</v>
      </c>
      <c r="D32" s="12" t="s">
        <v>11</v>
      </c>
      <c r="E32" s="12" t="s">
        <v>11</v>
      </c>
      <c r="F32" s="12" t="s">
        <v>11</v>
      </c>
      <c r="G32" s="12" t="s">
        <v>11</v>
      </c>
      <c r="H32" s="12" t="s">
        <v>11</v>
      </c>
      <c r="I32" s="12" t="s">
        <v>11</v>
      </c>
      <c r="J32" s="12" t="s">
        <v>11</v>
      </c>
      <c r="K32" s="12" t="s">
        <v>11</v>
      </c>
      <c r="L32" s="12" t="s">
        <v>11</v>
      </c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</row>
    <row r="33" spans="1:24" s="5" customFormat="1" x14ac:dyDescent="0.2">
      <c r="A33" s="11" t="s">
        <v>23</v>
      </c>
      <c r="B33" s="12">
        <f>206/147</f>
        <v>1.4013605442176871</v>
      </c>
      <c r="C33" s="12" t="s">
        <v>11</v>
      </c>
      <c r="D33" s="12" t="s">
        <v>11</v>
      </c>
      <c r="E33" s="12" t="s">
        <v>11</v>
      </c>
      <c r="F33" s="12" t="s">
        <v>11</v>
      </c>
      <c r="G33" s="12" t="s">
        <v>11</v>
      </c>
      <c r="H33" s="12" t="s">
        <v>11</v>
      </c>
      <c r="I33" s="12" t="s">
        <v>11</v>
      </c>
      <c r="J33" s="12" t="s">
        <v>11</v>
      </c>
      <c r="K33" s="12" t="s">
        <v>11</v>
      </c>
      <c r="L33" s="12" t="s">
        <v>11</v>
      </c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 spans="1:24" s="5" customFormat="1" x14ac:dyDescent="0.2">
      <c r="A34" s="11" t="s">
        <v>28</v>
      </c>
      <c r="B34" s="12">
        <f>87/83</f>
        <v>1.0481927710843373</v>
      </c>
      <c r="C34" s="12" t="s">
        <v>11</v>
      </c>
      <c r="D34" s="12">
        <f>17/30</f>
        <v>0.56666666666666665</v>
      </c>
      <c r="E34" s="12" t="s">
        <v>11</v>
      </c>
      <c r="F34" s="12" t="s">
        <v>11</v>
      </c>
      <c r="G34" s="12" t="s">
        <v>11</v>
      </c>
      <c r="H34" s="12" t="s">
        <v>11</v>
      </c>
      <c r="I34" s="12" t="s">
        <v>11</v>
      </c>
      <c r="J34" s="12" t="s">
        <v>11</v>
      </c>
      <c r="K34" s="12" t="s">
        <v>11</v>
      </c>
      <c r="L34" s="12" t="s">
        <v>11</v>
      </c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</row>
    <row r="35" spans="1:24" s="5" customFormat="1" x14ac:dyDescent="0.2">
      <c r="A35" s="11" t="s">
        <v>24</v>
      </c>
      <c r="B35" s="12">
        <f>143/62</f>
        <v>2.306451612903226</v>
      </c>
      <c r="C35" s="12">
        <v>0</v>
      </c>
      <c r="D35" s="12" t="s">
        <v>11</v>
      </c>
      <c r="E35" s="12" t="s">
        <v>11</v>
      </c>
      <c r="F35" s="12" t="s">
        <v>11</v>
      </c>
      <c r="G35" s="12" t="s">
        <v>11</v>
      </c>
      <c r="H35" s="12" t="s">
        <v>11</v>
      </c>
      <c r="I35" s="12" t="s">
        <v>11</v>
      </c>
      <c r="J35" s="12" t="s">
        <v>11</v>
      </c>
      <c r="K35" s="12" t="s">
        <v>11</v>
      </c>
      <c r="L35" s="12" t="s">
        <v>11</v>
      </c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 spans="1:24" s="5" customFormat="1" x14ac:dyDescent="0.2">
      <c r="A36" s="11" t="s">
        <v>25</v>
      </c>
      <c r="B36" s="12">
        <f>62.9/54</f>
        <v>1.1648148148148147</v>
      </c>
      <c r="C36" s="12" t="s">
        <v>11</v>
      </c>
      <c r="D36" s="12" t="s">
        <v>11</v>
      </c>
      <c r="E36" s="12" t="s">
        <v>11</v>
      </c>
      <c r="F36" s="12" t="s">
        <v>11</v>
      </c>
      <c r="G36" s="12" t="s">
        <v>11</v>
      </c>
      <c r="H36" s="12" t="s">
        <v>11</v>
      </c>
      <c r="I36" s="12" t="s">
        <v>11</v>
      </c>
      <c r="J36" s="12" t="s">
        <v>11</v>
      </c>
      <c r="K36" s="12" t="s">
        <v>11</v>
      </c>
      <c r="L36" s="12" t="s">
        <v>11</v>
      </c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</row>
    <row r="37" spans="1:24" s="5" customFormat="1" x14ac:dyDescent="0.2">
      <c r="A37" s="11" t="s">
        <v>26</v>
      </c>
      <c r="B37" s="12">
        <f>27/23</f>
        <v>1.173913043478261</v>
      </c>
      <c r="C37" s="12" t="s">
        <v>11</v>
      </c>
      <c r="D37" s="12" t="s">
        <v>11</v>
      </c>
      <c r="E37" s="12" t="s">
        <v>11</v>
      </c>
      <c r="F37" s="12" t="s">
        <v>11</v>
      </c>
      <c r="G37" s="12">
        <f t="shared" ref="G37" si="2">S13/G13</f>
        <v>1.1162790697674418</v>
      </c>
      <c r="H37" s="12" t="s">
        <v>11</v>
      </c>
      <c r="I37" s="12" t="s">
        <v>11</v>
      </c>
      <c r="J37" s="12" t="s">
        <v>11</v>
      </c>
      <c r="K37" s="12" t="s">
        <v>11</v>
      </c>
      <c r="L37" s="12">
        <f t="shared" ref="L37" si="3">X13/L13</f>
        <v>0.68421052631578949</v>
      </c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 spans="1:24" s="5" customFormat="1" x14ac:dyDescent="0.2">
      <c r="A38" s="11" t="s">
        <v>27</v>
      </c>
      <c r="B38" s="12">
        <f>66/55</f>
        <v>1.2</v>
      </c>
      <c r="C38" s="12" t="s">
        <v>11</v>
      </c>
      <c r="D38" s="12" t="s">
        <v>11</v>
      </c>
      <c r="E38" s="12">
        <f t="shared" ref="E38" si="4">Q14/E14</f>
        <v>1.15625</v>
      </c>
      <c r="F38" s="12" t="s">
        <v>11</v>
      </c>
      <c r="G38" s="12" t="s">
        <v>11</v>
      </c>
      <c r="H38" s="12" t="s">
        <v>11</v>
      </c>
      <c r="I38" s="12" t="s">
        <v>11</v>
      </c>
      <c r="J38" s="12" t="s">
        <v>11</v>
      </c>
      <c r="K38" s="12" t="s">
        <v>11</v>
      </c>
      <c r="L38" s="12" t="s">
        <v>11</v>
      </c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  <row r="39" spans="1:24" s="5" customFormat="1" x14ac:dyDescent="0.2">
      <c r="A39" s="11" t="s">
        <v>63</v>
      </c>
      <c r="B39" s="12" t="s">
        <v>11</v>
      </c>
      <c r="C39" s="12" t="s">
        <v>11</v>
      </c>
      <c r="D39" s="12" t="s">
        <v>11</v>
      </c>
      <c r="E39" s="12" t="s">
        <v>11</v>
      </c>
      <c r="F39" s="12" t="s">
        <v>11</v>
      </c>
      <c r="G39" s="12" t="s">
        <v>11</v>
      </c>
      <c r="H39" s="12">
        <f>(49+24)/(64+33)</f>
        <v>0.75257731958762886</v>
      </c>
      <c r="I39" s="12" t="s">
        <v>11</v>
      </c>
      <c r="J39" s="12">
        <f t="shared" ref="J39" si="5">V15/J15</f>
        <v>1.0357142857142858</v>
      </c>
      <c r="K39" s="12" t="s">
        <v>11</v>
      </c>
      <c r="L39" s="12" t="s">
        <v>11</v>
      </c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</row>
    <row r="40" spans="1:24" s="5" customFormat="1" x14ac:dyDescent="0.2">
      <c r="A40" s="11" t="s">
        <v>64</v>
      </c>
      <c r="B40" s="12" t="s">
        <v>11</v>
      </c>
      <c r="C40" s="12" t="s">
        <v>11</v>
      </c>
      <c r="D40" s="12" t="s">
        <v>11</v>
      </c>
      <c r="E40" s="12" t="s">
        <v>11</v>
      </c>
      <c r="F40" s="12" t="s">
        <v>11</v>
      </c>
      <c r="G40" s="12">
        <f t="shared" ref="G40:G45" si="6">S16/G16</f>
        <v>0.97790055248618768</v>
      </c>
      <c r="H40" s="12" t="s">
        <v>11</v>
      </c>
      <c r="I40" s="12" t="s">
        <v>11</v>
      </c>
      <c r="J40" s="12" t="s">
        <v>11</v>
      </c>
      <c r="K40" s="12" t="s">
        <v>11</v>
      </c>
      <c r="L40" s="12" t="s">
        <v>11</v>
      </c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</row>
    <row r="41" spans="1:24" s="5" customFormat="1" x14ac:dyDescent="0.2">
      <c r="A41" s="11" t="s">
        <v>65</v>
      </c>
      <c r="B41" s="12" t="s">
        <v>11</v>
      </c>
      <c r="C41" s="12">
        <f>24/23</f>
        <v>1.0434782608695652</v>
      </c>
      <c r="D41" s="12" t="s">
        <v>11</v>
      </c>
      <c r="E41" s="12" t="s">
        <v>11</v>
      </c>
      <c r="F41" s="12" t="s">
        <v>11</v>
      </c>
      <c r="G41" s="12" t="s">
        <v>11</v>
      </c>
      <c r="H41" s="12" t="s">
        <v>11</v>
      </c>
      <c r="I41" s="12" t="s">
        <v>11</v>
      </c>
      <c r="J41" s="12" t="s">
        <v>11</v>
      </c>
      <c r="K41" s="12">
        <f t="shared" ref="K41" si="7">W17/K17</f>
        <v>1.0909090909090908</v>
      </c>
      <c r="L41" s="12" t="s">
        <v>11</v>
      </c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</row>
    <row r="42" spans="1:24" s="5" customFormat="1" x14ac:dyDescent="0.2">
      <c r="A42" s="11" t="s">
        <v>66</v>
      </c>
      <c r="B42" s="12" t="s">
        <v>11</v>
      </c>
      <c r="C42" s="12">
        <v>0</v>
      </c>
      <c r="D42" s="12">
        <f>26/16</f>
        <v>1.625</v>
      </c>
      <c r="E42" s="12">
        <f t="shared" ref="E42:E46" si="8">Q18/E18</f>
        <v>0</v>
      </c>
      <c r="F42" s="12" t="s">
        <v>11</v>
      </c>
      <c r="G42" s="12" t="s">
        <v>11</v>
      </c>
      <c r="H42" s="12" t="s">
        <v>11</v>
      </c>
      <c r="I42" s="12" t="s">
        <v>11</v>
      </c>
      <c r="J42" s="12" t="s">
        <v>11</v>
      </c>
      <c r="K42" s="12" t="s">
        <v>11</v>
      </c>
      <c r="L42" s="12" t="s">
        <v>11</v>
      </c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</row>
    <row r="43" spans="1:24" s="5" customFormat="1" x14ac:dyDescent="0.2">
      <c r="A43" s="11" t="s">
        <v>67</v>
      </c>
      <c r="B43" s="12" t="s">
        <v>11</v>
      </c>
      <c r="C43" s="12" t="s">
        <v>11</v>
      </c>
      <c r="D43" s="12" t="s">
        <v>11</v>
      </c>
      <c r="E43" s="12">
        <f t="shared" si="8"/>
        <v>1.1153846153846154</v>
      </c>
      <c r="F43" s="12">
        <f t="shared" ref="F43:F44" si="9">R19/F19</f>
        <v>1.0923076923076922</v>
      </c>
      <c r="G43" s="12" t="s">
        <v>11</v>
      </c>
      <c r="H43" s="12" t="s">
        <v>11</v>
      </c>
      <c r="I43" s="12">
        <f t="shared" ref="I43" si="10">U19/I19</f>
        <v>1.0655737704918034</v>
      </c>
      <c r="J43" s="12" t="s">
        <v>11</v>
      </c>
      <c r="K43" s="12" t="s">
        <v>11</v>
      </c>
      <c r="L43" s="12" t="s">
        <v>11</v>
      </c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 spans="1:24" s="5" customFormat="1" x14ac:dyDescent="0.2">
      <c r="A44" s="11" t="s">
        <v>68</v>
      </c>
      <c r="B44" s="12" t="s">
        <v>11</v>
      </c>
      <c r="C44" s="12">
        <f>21.7/28.2</f>
        <v>0.76950354609929073</v>
      </c>
      <c r="D44" s="12">
        <f>11/18.7</f>
        <v>0.58823529411764708</v>
      </c>
      <c r="E44" s="12" t="s">
        <v>11</v>
      </c>
      <c r="F44" s="12">
        <f t="shared" si="9"/>
        <v>1.6442166910688141</v>
      </c>
      <c r="G44" s="12" t="s">
        <v>11</v>
      </c>
      <c r="H44" s="12" t="s">
        <v>11</v>
      </c>
      <c r="I44" s="12" t="s">
        <v>11</v>
      </c>
      <c r="J44" s="12" t="s">
        <v>11</v>
      </c>
      <c r="K44" s="12" t="s">
        <v>11</v>
      </c>
      <c r="L44" s="12" t="s">
        <v>11</v>
      </c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</row>
    <row r="45" spans="1:24" s="5" customFormat="1" x14ac:dyDescent="0.2">
      <c r="A45" s="11" t="s">
        <v>69</v>
      </c>
      <c r="B45" s="12" t="s">
        <v>11</v>
      </c>
      <c r="C45" s="12">
        <f>50/58</f>
        <v>0.86206896551724133</v>
      </c>
      <c r="D45" s="12" t="s">
        <v>11</v>
      </c>
      <c r="E45" s="12" t="s">
        <v>11</v>
      </c>
      <c r="F45" s="12" t="s">
        <v>11</v>
      </c>
      <c r="G45" s="12">
        <f t="shared" si="6"/>
        <v>0.68421052631578949</v>
      </c>
      <c r="H45" s="12" t="s">
        <v>11</v>
      </c>
      <c r="I45" s="12" t="s">
        <v>11</v>
      </c>
      <c r="J45" s="12" t="s">
        <v>11</v>
      </c>
      <c r="K45" s="12" t="s">
        <v>11</v>
      </c>
      <c r="L45" s="12" t="s">
        <v>11</v>
      </c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</row>
    <row r="46" spans="1:24" s="5" customFormat="1" x14ac:dyDescent="0.2">
      <c r="A46" s="11" t="s">
        <v>70</v>
      </c>
      <c r="B46" s="12" t="s">
        <v>11</v>
      </c>
      <c r="C46" s="12" t="s">
        <v>11</v>
      </c>
      <c r="D46" s="12" t="s">
        <v>11</v>
      </c>
      <c r="E46" s="12">
        <f t="shared" si="8"/>
        <v>1.393939393939394</v>
      </c>
      <c r="F46" s="12" t="s">
        <v>11</v>
      </c>
      <c r="G46" s="12" t="s">
        <v>11</v>
      </c>
      <c r="H46" s="12" t="s">
        <v>11</v>
      </c>
      <c r="I46" s="12" t="s">
        <v>11</v>
      </c>
      <c r="J46" s="12" t="s">
        <v>11</v>
      </c>
      <c r="K46" s="12" t="s">
        <v>11</v>
      </c>
      <c r="L46" s="12" t="s">
        <v>11</v>
      </c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 Kreger</dc:creator>
  <cp:lastModifiedBy>Jesse Kreger</cp:lastModifiedBy>
  <dcterms:created xsi:type="dcterms:W3CDTF">2025-03-20T19:07:37Z</dcterms:created>
  <dcterms:modified xsi:type="dcterms:W3CDTF">2025-05-23T16:19:56Z</dcterms:modified>
</cp:coreProperties>
</file>